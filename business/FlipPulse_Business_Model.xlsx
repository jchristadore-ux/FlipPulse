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nthly Model" sheetId="2" state="visible" r:id="rId2"/>
    <sheet name="Summary" sheetId="3" state="visible" r:id="rId3"/>
    <sheet name="Cos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B7890"/>
    </font>
    <font>
      <b val="1"/>
      <color rgb="00FFFFFF"/>
    </font>
    <font>
      <color rgb="0030425F"/>
    </font>
    <font>
      <i val="1"/>
      <color rgb="006B7890"/>
      <sz val="9"/>
    </font>
    <font>
      <b val="1"/>
      <color rgb="00FFFFFF"/>
      <sz val="14"/>
    </font>
    <font>
      <b val="1"/>
    </font>
    <font/>
    <font>
      <b val="1"/>
      <color rgb="0030425F"/>
    </font>
    <font>
      <b val="1"/>
      <color rgb="00FFFFFF"/>
      <sz val="13"/>
    </font>
    <font>
      <color rgb="004A5A72"/>
    </font>
  </fonts>
  <fills count="4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0" fillId="3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5" fillId="0" borderId="0" pivotButton="0" quotePrefix="0" xfId="0"/>
    <xf numFmtId="166" fontId="0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7" fillId="0" borderId="0" pivotButton="0" quotePrefix="0" xfId="0"/>
    <xf numFmtId="0" fontId="3" fillId="2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  <xf numFmtId="165" fontId="8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1" t="inlineStr">
        <is>
          <t>FlipPulse — Business Model Inputs</t>
        </is>
      </c>
    </row>
    <row r="2">
      <c r="A2" s="2" t="inlineStr">
        <is>
          <t>Edit the shaded (yellow) cells. Everything else recomputes on the other sheets.</t>
        </is>
      </c>
    </row>
    <row r="4">
      <c r="A4" s="3" t="inlineStr">
        <is>
          <t>REVENUE</t>
        </is>
      </c>
      <c r="B4" s="4" t="n"/>
      <c r="C4" s="4" t="n"/>
    </row>
    <row r="5">
      <c r="A5" s="5" t="inlineStr">
        <is>
          <t>Startup fee per new customer</t>
        </is>
      </c>
      <c r="B5" s="6" t="n">
        <v>150</v>
      </c>
    </row>
    <row r="6">
      <c r="A6" s="5" t="inlineStr">
        <is>
          <t>Monthly subscription per customer</t>
        </is>
      </c>
      <c r="B6" s="6" t="n">
        <v>99</v>
      </c>
    </row>
    <row r="7">
      <c r="A7" s="5" t="inlineStr">
        <is>
          <t>Performance fee (% of customer monthly profit)</t>
        </is>
      </c>
      <c r="B7" s="7" t="n">
        <v>0.2</v>
      </c>
    </row>
    <row r="8">
      <c r="A8" s="5" t="inlineStr">
        <is>
          <t>Include performance fee in headline totals? (1=yes, 0=no)</t>
        </is>
      </c>
      <c r="B8" s="8" t="n">
        <v>0</v>
      </c>
      <c r="C8" s="9" t="inlineStr">
        <is>
          <t>Kept OFF by default — it's an illustrative upside, and needs compliance review.</t>
        </is>
      </c>
    </row>
    <row r="10">
      <c r="A10" s="3" t="inlineStr">
        <is>
          <t>PERFORMANCE-FEE ASSUMPTIONS  (illustrative — UNPROVEN)</t>
        </is>
      </c>
      <c r="B10" s="4" t="n"/>
      <c r="C10" s="4" t="n"/>
    </row>
    <row r="11">
      <c r="A11" s="5" t="inlineStr">
        <is>
          <t>Avg funded balance per customer</t>
        </is>
      </c>
      <c r="B11" s="6" t="n">
        <v>2000</v>
      </c>
      <c r="C11" s="9" t="inlineStr">
        <is>
          <t>Your guess of the typical account size.</t>
        </is>
      </c>
    </row>
    <row r="12">
      <c r="A12" s="5" t="inlineStr">
        <is>
          <t>Avg monthly net return per customer</t>
        </is>
      </c>
      <c r="B12" s="7" t="n">
        <v>0.05</v>
      </c>
      <c r="C12" s="9" t="inlineStr">
        <is>
          <t>The bot's real edge is unproven (paper mode by default). Adjust freely.</t>
        </is>
      </c>
    </row>
    <row r="14">
      <c r="A14" s="3" t="inlineStr">
        <is>
          <t>GROWTH</t>
        </is>
      </c>
      <c r="B14" s="4" t="n"/>
      <c r="C14" s="4" t="n"/>
    </row>
    <row r="15">
      <c r="A15" s="5" t="inlineStr">
        <is>
          <t>Monthly churn (% of active customers)</t>
        </is>
      </c>
      <c r="B15" s="7" t="n">
        <v>0.04</v>
      </c>
    </row>
    <row r="17">
      <c r="A17" s="3" t="inlineStr">
        <is>
          <t>RECURRING COSTS  (monthly)</t>
        </is>
      </c>
      <c r="B17" s="4" t="n"/>
      <c r="C17" s="4" t="n"/>
    </row>
    <row r="18">
      <c r="A18" s="5" t="inlineStr">
        <is>
          <t>Claude Max</t>
        </is>
      </c>
      <c r="B18" s="6" t="n">
        <v>100</v>
      </c>
    </row>
    <row r="19">
      <c r="A19" s="5" t="inlineStr">
        <is>
          <t>Railway base (Pro plan)</t>
        </is>
      </c>
      <c r="B19" s="6" t="n">
        <v>20</v>
      </c>
    </row>
    <row r="20">
      <c r="A20" s="5" t="inlineStr">
        <is>
          <t>Railway usage per active bot</t>
        </is>
      </c>
      <c r="B20" s="6" t="n">
        <v>5</v>
      </c>
      <c r="C20" s="9" t="inlineStr">
        <is>
          <t>Each customer = one always-on bot. ~$3–8/mo of usage each; tune to real bills.</t>
        </is>
      </c>
    </row>
    <row r="21">
      <c r="A21" s="5" t="inlineStr">
        <is>
          <t>GitHub</t>
        </is>
      </c>
      <c r="B21" s="6" t="n">
        <v>0</v>
      </c>
      <c r="C21" s="9" t="inlineStr">
        <is>
          <t>Free covers unlimited private repos. Team is $4/user if you add staff.</t>
        </is>
      </c>
    </row>
    <row r="22">
      <c r="A22" s="5" t="inlineStr">
        <is>
          <t>Misc software / tools (domain, email, etc.)</t>
        </is>
      </c>
      <c r="B22" s="6" t="n">
        <v>30</v>
      </c>
    </row>
    <row r="24">
      <c r="A24" s="3" t="inlineStr">
        <is>
          <t>PAYMENT PROCESSING  (Stripe)</t>
        </is>
      </c>
      <c r="B24" s="4" t="n"/>
      <c r="C24" s="4" t="n"/>
    </row>
    <row r="25">
      <c r="A25" s="5" t="inlineStr">
        <is>
          <t>Stripe % per charge</t>
        </is>
      </c>
      <c r="B25" s="7" t="n">
        <v>0.029</v>
      </c>
    </row>
    <row r="26">
      <c r="A26" s="5" t="inlineStr">
        <is>
          <t>Stripe fixed per charge</t>
        </is>
      </c>
      <c r="B26" s="10" t="n">
        <v>0.3</v>
      </c>
    </row>
    <row r="27">
      <c r="A27" s="5" t="inlineStr">
        <is>
          <t>Stripe Billing % (recurring)</t>
        </is>
      </c>
      <c r="B27" s="7" t="n">
        <v>0.007</v>
      </c>
    </row>
    <row r="29">
      <c r="A29" s="3" t="inlineStr">
        <is>
          <t>HARDWARE  (capital expense — funded from profits)</t>
        </is>
      </c>
      <c r="B29" s="4" t="n"/>
      <c r="C29" s="4" t="n"/>
    </row>
    <row r="30">
      <c r="A30" s="5" t="inlineStr">
        <is>
          <t>Mac mini (top spec, M4 Pro 48GB / 1TB)</t>
        </is>
      </c>
      <c r="B30" s="6" t="n">
        <v>2000</v>
      </c>
    </row>
    <row r="31">
      <c r="A31" s="5" t="inlineStr">
        <is>
          <t>Large curved monitor</t>
        </is>
      </c>
      <c r="B31" s="6" t="n">
        <v>1000</v>
      </c>
    </row>
    <row r="32">
      <c r="A32" s="5" t="inlineStr">
        <is>
          <t>Peripherals / desk setup</t>
        </is>
      </c>
      <c r="B32" s="6" t="n">
        <v>300</v>
      </c>
    </row>
    <row r="33">
      <c r="A33" s="5" t="inlineStr">
        <is>
          <t>Hardware total</t>
        </is>
      </c>
      <c r="B33" s="11">
        <f>B30+B31+B32</f>
        <v/>
      </c>
    </row>
    <row r="34">
      <c r="A34" s="5" t="inlineStr">
        <is>
          <t>Purchase in month (1–12)</t>
        </is>
      </c>
      <c r="B34" s="8" t="n">
        <v>5</v>
      </c>
      <c r="C34" s="9" t="inlineStr">
        <is>
          <t>Only sensible once cumulative profit covers it — see the Summary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0" customWidth="1" min="4" max="4"/>
    <col width="9" customWidth="1" min="5" max="5"/>
    <col width="12" customWidth="1" min="6" max="6"/>
    <col width="13" customWidth="1" min="7" max="7"/>
    <col width="12" customWidth="1" min="8" max="8"/>
    <col width="14" customWidth="1" min="9" max="9"/>
    <col width="10" customWidth="1" min="10" max="10"/>
    <col width="11" customWidth="1" min="11" max="11"/>
    <col width="12" customWidth="1" min="12" max="12"/>
    <col width="12" customWidth="1" min="13" max="13"/>
    <col width="13" customWidth="1" min="14" max="14"/>
    <col width="14" customWidth="1" min="15" max="15"/>
    <col width="13" customWidth="1" min="16" max="16"/>
    <col width="14" customWidth="1" min="17" max="17"/>
  </cols>
  <sheetData>
    <row r="1">
      <c r="A1" s="12" t="inlineStr">
        <is>
          <t>FlipPulse — 12-Month Model</t>
        </is>
      </c>
    </row>
    <row r="2">
      <c r="A2" s="13" t="inlineStr">
        <is>
          <t>Month</t>
        </is>
      </c>
      <c r="B2" s="13" t="inlineStr">
        <is>
          <t>Cust. start</t>
        </is>
      </c>
      <c r="C2" s="13" t="inlineStr">
        <is>
          <t>Cust. end</t>
        </is>
      </c>
      <c r="D2" s="13" t="inlineStr">
        <is>
          <t>Churned</t>
        </is>
      </c>
      <c r="E2" s="13" t="inlineStr">
        <is>
          <t>New</t>
        </is>
      </c>
      <c r="F2" s="13" t="inlineStr">
        <is>
          <t>Setup rev</t>
        </is>
      </c>
      <c r="G2" s="13" t="inlineStr">
        <is>
          <t>Subscription</t>
        </is>
      </c>
      <c r="H2" s="13" t="inlineStr">
        <is>
          <t>Perf fee*</t>
        </is>
      </c>
      <c r="I2" s="13" t="inlineStr">
        <is>
          <t>Total revenue</t>
        </is>
      </c>
      <c r="J2" s="13" t="inlineStr">
        <is>
          <t>Claude</t>
        </is>
      </c>
      <c r="K2" s="13" t="inlineStr">
        <is>
          <t>Railway</t>
        </is>
      </c>
      <c r="L2" s="13" t="inlineStr">
        <is>
          <t>GitHub+Misc</t>
        </is>
      </c>
      <c r="M2" s="13" t="inlineStr">
        <is>
          <t>Stripe fees</t>
        </is>
      </c>
      <c r="N2" s="13" t="inlineStr">
        <is>
          <t>Total OpEx</t>
        </is>
      </c>
      <c r="O2" s="13" t="inlineStr">
        <is>
          <t>Hardware capex</t>
        </is>
      </c>
      <c r="P2" s="13" t="inlineStr">
        <is>
          <t>Net profit</t>
        </is>
      </c>
      <c r="Q2" s="13" t="inlineStr">
        <is>
          <t>Cumulative</t>
        </is>
      </c>
    </row>
    <row r="3">
      <c r="A3" s="14" t="n">
        <v>1</v>
      </c>
      <c r="B3" s="14" t="n">
        <v>0</v>
      </c>
      <c r="C3" s="15" t="n">
        <v>8</v>
      </c>
      <c r="D3" s="14">
        <f>B3*Inputs!$B$15</f>
        <v/>
      </c>
      <c r="E3" s="14">
        <f>C3-B3+D3</f>
        <v/>
      </c>
      <c r="F3" s="16">
        <f>E3*Inputs!$B$5</f>
        <v/>
      </c>
      <c r="G3" s="16">
        <f>((B3+C3)/2)*Inputs!$B$6</f>
        <v/>
      </c>
      <c r="H3" s="16">
        <f>((B3+C3)/2)*Inputs!$B$11*Inputs!$B$12*Inputs!$B$7*Inputs!$B$8</f>
        <v/>
      </c>
      <c r="I3" s="16">
        <f>F3+G3+H3</f>
        <v/>
      </c>
      <c r="J3" s="16">
        <f>Inputs!$B$18</f>
        <v/>
      </c>
      <c r="K3" s="16">
        <f>Inputs!$B$19+((B3+C3)/2)*Inputs!$B$20</f>
        <v/>
      </c>
      <c r="L3" s="16">
        <f>Inputs!$B$21+Inputs!$B$22</f>
        <v/>
      </c>
      <c r="M3" s="16">
        <f>E3*(Inputs!$B$25*Inputs!$B$5+Inputs!$B$26)+((B3+C3)/2)*(Inputs!$B$25*Inputs!$B$6+Inputs!$B$26+Inputs!$B$27*Inputs!$B$6)+H3*(Inputs!$B$25+Inputs!$B$27)</f>
        <v/>
      </c>
      <c r="N3" s="16">
        <f>J3+K3+L3+M3</f>
        <v/>
      </c>
      <c r="O3" s="16">
        <f>IF(A3=Inputs!$B$34,Inputs!$B$33,0)</f>
        <v/>
      </c>
      <c r="P3" s="16">
        <f>I3-N3-O3</f>
        <v/>
      </c>
      <c r="Q3" s="16">
        <f>P3</f>
        <v/>
      </c>
    </row>
    <row r="4">
      <c r="A4" s="14" t="n">
        <v>2</v>
      </c>
      <c r="B4" s="14">
        <f>C3</f>
        <v/>
      </c>
      <c r="C4" s="15" t="n">
        <v>20</v>
      </c>
      <c r="D4" s="14">
        <f>B4*Inputs!$B$15</f>
        <v/>
      </c>
      <c r="E4" s="14">
        <f>C4-B4+D4</f>
        <v/>
      </c>
      <c r="F4" s="16">
        <f>E4*Inputs!$B$5</f>
        <v/>
      </c>
      <c r="G4" s="16">
        <f>((B4+C4)/2)*Inputs!$B$6</f>
        <v/>
      </c>
      <c r="H4" s="16">
        <f>((B4+C4)/2)*Inputs!$B$11*Inputs!$B$12*Inputs!$B$7*Inputs!$B$8</f>
        <v/>
      </c>
      <c r="I4" s="16">
        <f>F4+G4+H4</f>
        <v/>
      </c>
      <c r="J4" s="16">
        <f>Inputs!$B$18</f>
        <v/>
      </c>
      <c r="K4" s="16">
        <f>Inputs!$B$19+((B4+C4)/2)*Inputs!$B$20</f>
        <v/>
      </c>
      <c r="L4" s="16">
        <f>Inputs!$B$21+Inputs!$B$22</f>
        <v/>
      </c>
      <c r="M4" s="16">
        <f>E4*(Inputs!$B$25*Inputs!$B$5+Inputs!$B$26)+((B4+C4)/2)*(Inputs!$B$25*Inputs!$B$6+Inputs!$B$26+Inputs!$B$27*Inputs!$B$6)+H4*(Inputs!$B$25+Inputs!$B$27)</f>
        <v/>
      </c>
      <c r="N4" s="16">
        <f>J4+K4+L4+M4</f>
        <v/>
      </c>
      <c r="O4" s="16">
        <f>IF(A4=Inputs!$B$34,Inputs!$B$33,0)</f>
        <v/>
      </c>
      <c r="P4" s="16">
        <f>I4-N4-O4</f>
        <v/>
      </c>
      <c r="Q4" s="16">
        <f>Q3+P4</f>
        <v/>
      </c>
    </row>
    <row r="5">
      <c r="A5" s="14" t="n">
        <v>3</v>
      </c>
      <c r="B5" s="14">
        <f>C4</f>
        <v/>
      </c>
      <c r="C5" s="15" t="n">
        <v>38</v>
      </c>
      <c r="D5" s="14">
        <f>B5*Inputs!$B$15</f>
        <v/>
      </c>
      <c r="E5" s="14">
        <f>C5-B5+D5</f>
        <v/>
      </c>
      <c r="F5" s="16">
        <f>E5*Inputs!$B$5</f>
        <v/>
      </c>
      <c r="G5" s="16">
        <f>((B5+C5)/2)*Inputs!$B$6</f>
        <v/>
      </c>
      <c r="H5" s="16">
        <f>((B5+C5)/2)*Inputs!$B$11*Inputs!$B$12*Inputs!$B$7*Inputs!$B$8</f>
        <v/>
      </c>
      <c r="I5" s="16">
        <f>F5+G5+H5</f>
        <v/>
      </c>
      <c r="J5" s="16">
        <f>Inputs!$B$18</f>
        <v/>
      </c>
      <c r="K5" s="16">
        <f>Inputs!$B$19+((B5+C5)/2)*Inputs!$B$20</f>
        <v/>
      </c>
      <c r="L5" s="16">
        <f>Inputs!$B$21+Inputs!$B$22</f>
        <v/>
      </c>
      <c r="M5" s="16">
        <f>E5*(Inputs!$B$25*Inputs!$B$5+Inputs!$B$26)+((B5+C5)/2)*(Inputs!$B$25*Inputs!$B$6+Inputs!$B$26+Inputs!$B$27*Inputs!$B$6)+H5*(Inputs!$B$25+Inputs!$B$27)</f>
        <v/>
      </c>
      <c r="N5" s="16">
        <f>J5+K5+L5+M5</f>
        <v/>
      </c>
      <c r="O5" s="16">
        <f>IF(A5=Inputs!$B$34,Inputs!$B$33,0)</f>
        <v/>
      </c>
      <c r="P5" s="16">
        <f>I5-N5-O5</f>
        <v/>
      </c>
      <c r="Q5" s="16">
        <f>Q4+P5</f>
        <v/>
      </c>
    </row>
    <row r="6">
      <c r="A6" s="14" t="n">
        <v>4</v>
      </c>
      <c r="B6" s="14">
        <f>C5</f>
        <v/>
      </c>
      <c r="C6" s="15" t="n">
        <v>60</v>
      </c>
      <c r="D6" s="14">
        <f>B6*Inputs!$B$15</f>
        <v/>
      </c>
      <c r="E6" s="14">
        <f>C6-B6+D6</f>
        <v/>
      </c>
      <c r="F6" s="16">
        <f>E6*Inputs!$B$5</f>
        <v/>
      </c>
      <c r="G6" s="16">
        <f>((B6+C6)/2)*Inputs!$B$6</f>
        <v/>
      </c>
      <c r="H6" s="16">
        <f>((B6+C6)/2)*Inputs!$B$11*Inputs!$B$12*Inputs!$B$7*Inputs!$B$8</f>
        <v/>
      </c>
      <c r="I6" s="16">
        <f>F6+G6+H6</f>
        <v/>
      </c>
      <c r="J6" s="16">
        <f>Inputs!$B$18</f>
        <v/>
      </c>
      <c r="K6" s="16">
        <f>Inputs!$B$19+((B6+C6)/2)*Inputs!$B$20</f>
        <v/>
      </c>
      <c r="L6" s="16">
        <f>Inputs!$B$21+Inputs!$B$22</f>
        <v/>
      </c>
      <c r="M6" s="16">
        <f>E6*(Inputs!$B$25*Inputs!$B$5+Inputs!$B$26)+((B6+C6)/2)*(Inputs!$B$25*Inputs!$B$6+Inputs!$B$26+Inputs!$B$27*Inputs!$B$6)+H6*(Inputs!$B$25+Inputs!$B$27)</f>
        <v/>
      </c>
      <c r="N6" s="16">
        <f>J6+K6+L6+M6</f>
        <v/>
      </c>
      <c r="O6" s="16">
        <f>IF(A6=Inputs!$B$34,Inputs!$B$33,0)</f>
        <v/>
      </c>
      <c r="P6" s="16">
        <f>I6-N6-O6</f>
        <v/>
      </c>
      <c r="Q6" s="16">
        <f>Q5+P6</f>
        <v/>
      </c>
    </row>
    <row r="7">
      <c r="A7" s="14" t="n">
        <v>5</v>
      </c>
      <c r="B7" s="14">
        <f>C6</f>
        <v/>
      </c>
      <c r="C7" s="15" t="n">
        <v>80</v>
      </c>
      <c r="D7" s="14">
        <f>B7*Inputs!$B$15</f>
        <v/>
      </c>
      <c r="E7" s="14">
        <f>C7-B7+D7</f>
        <v/>
      </c>
      <c r="F7" s="16">
        <f>E7*Inputs!$B$5</f>
        <v/>
      </c>
      <c r="G7" s="16">
        <f>((B7+C7)/2)*Inputs!$B$6</f>
        <v/>
      </c>
      <c r="H7" s="16">
        <f>((B7+C7)/2)*Inputs!$B$11*Inputs!$B$12*Inputs!$B$7*Inputs!$B$8</f>
        <v/>
      </c>
      <c r="I7" s="16">
        <f>F7+G7+H7</f>
        <v/>
      </c>
      <c r="J7" s="16">
        <f>Inputs!$B$18</f>
        <v/>
      </c>
      <c r="K7" s="16">
        <f>Inputs!$B$19+((B7+C7)/2)*Inputs!$B$20</f>
        <v/>
      </c>
      <c r="L7" s="16">
        <f>Inputs!$B$21+Inputs!$B$22</f>
        <v/>
      </c>
      <c r="M7" s="16">
        <f>E7*(Inputs!$B$25*Inputs!$B$5+Inputs!$B$26)+((B7+C7)/2)*(Inputs!$B$25*Inputs!$B$6+Inputs!$B$26+Inputs!$B$27*Inputs!$B$6)+H7*(Inputs!$B$25+Inputs!$B$27)</f>
        <v/>
      </c>
      <c r="N7" s="16">
        <f>J7+K7+L7+M7</f>
        <v/>
      </c>
      <c r="O7" s="16">
        <f>IF(A7=Inputs!$B$34,Inputs!$B$33,0)</f>
        <v/>
      </c>
      <c r="P7" s="16">
        <f>I7-N7-O7</f>
        <v/>
      </c>
      <c r="Q7" s="16">
        <f>Q6+P7</f>
        <v/>
      </c>
    </row>
    <row r="8">
      <c r="A8" s="14" t="n">
        <v>6</v>
      </c>
      <c r="B8" s="14">
        <f>C7</f>
        <v/>
      </c>
      <c r="C8" s="15" t="n">
        <v>100</v>
      </c>
      <c r="D8" s="14">
        <f>B8*Inputs!$B$15</f>
        <v/>
      </c>
      <c r="E8" s="14">
        <f>C8-B8+D8</f>
        <v/>
      </c>
      <c r="F8" s="16">
        <f>E8*Inputs!$B$5</f>
        <v/>
      </c>
      <c r="G8" s="16">
        <f>((B8+C8)/2)*Inputs!$B$6</f>
        <v/>
      </c>
      <c r="H8" s="16">
        <f>((B8+C8)/2)*Inputs!$B$11*Inputs!$B$12*Inputs!$B$7*Inputs!$B$8</f>
        <v/>
      </c>
      <c r="I8" s="16">
        <f>F8+G8+H8</f>
        <v/>
      </c>
      <c r="J8" s="16">
        <f>Inputs!$B$18</f>
        <v/>
      </c>
      <c r="K8" s="16">
        <f>Inputs!$B$19+((B8+C8)/2)*Inputs!$B$20</f>
        <v/>
      </c>
      <c r="L8" s="16">
        <f>Inputs!$B$21+Inputs!$B$22</f>
        <v/>
      </c>
      <c r="M8" s="16">
        <f>E8*(Inputs!$B$25*Inputs!$B$5+Inputs!$B$26)+((B8+C8)/2)*(Inputs!$B$25*Inputs!$B$6+Inputs!$B$26+Inputs!$B$27*Inputs!$B$6)+H8*(Inputs!$B$25+Inputs!$B$27)</f>
        <v/>
      </c>
      <c r="N8" s="16">
        <f>J8+K8+L8+M8</f>
        <v/>
      </c>
      <c r="O8" s="16">
        <f>IF(A8=Inputs!$B$34,Inputs!$B$33,0)</f>
        <v/>
      </c>
      <c r="P8" s="16">
        <f>I8-N8-O8</f>
        <v/>
      </c>
      <c r="Q8" s="16">
        <f>Q7+P8</f>
        <v/>
      </c>
    </row>
    <row r="9">
      <c r="A9" s="14" t="n">
        <v>7</v>
      </c>
      <c r="B9" s="14">
        <f>C8</f>
        <v/>
      </c>
      <c r="C9" s="15" t="n">
        <v>140</v>
      </c>
      <c r="D9" s="14">
        <f>B9*Inputs!$B$15</f>
        <v/>
      </c>
      <c r="E9" s="14">
        <f>C9-B9+D9</f>
        <v/>
      </c>
      <c r="F9" s="16">
        <f>E9*Inputs!$B$5</f>
        <v/>
      </c>
      <c r="G9" s="16">
        <f>((B9+C9)/2)*Inputs!$B$6</f>
        <v/>
      </c>
      <c r="H9" s="16">
        <f>((B9+C9)/2)*Inputs!$B$11*Inputs!$B$12*Inputs!$B$7*Inputs!$B$8</f>
        <v/>
      </c>
      <c r="I9" s="16">
        <f>F9+G9+H9</f>
        <v/>
      </c>
      <c r="J9" s="16">
        <f>Inputs!$B$18</f>
        <v/>
      </c>
      <c r="K9" s="16">
        <f>Inputs!$B$19+((B9+C9)/2)*Inputs!$B$20</f>
        <v/>
      </c>
      <c r="L9" s="16">
        <f>Inputs!$B$21+Inputs!$B$22</f>
        <v/>
      </c>
      <c r="M9" s="16">
        <f>E9*(Inputs!$B$25*Inputs!$B$5+Inputs!$B$26)+((B9+C9)/2)*(Inputs!$B$25*Inputs!$B$6+Inputs!$B$26+Inputs!$B$27*Inputs!$B$6)+H9*(Inputs!$B$25+Inputs!$B$27)</f>
        <v/>
      </c>
      <c r="N9" s="16">
        <f>J9+K9+L9+M9</f>
        <v/>
      </c>
      <c r="O9" s="16">
        <f>IF(A9=Inputs!$B$34,Inputs!$B$33,0)</f>
        <v/>
      </c>
      <c r="P9" s="16">
        <f>I9-N9-O9</f>
        <v/>
      </c>
      <c r="Q9" s="16">
        <f>Q8+P9</f>
        <v/>
      </c>
    </row>
    <row r="10">
      <c r="A10" s="14" t="n">
        <v>8</v>
      </c>
      <c r="B10" s="14">
        <f>C9</f>
        <v/>
      </c>
      <c r="C10" s="15" t="n">
        <v>190</v>
      </c>
      <c r="D10" s="14">
        <f>B10*Inputs!$B$15</f>
        <v/>
      </c>
      <c r="E10" s="14">
        <f>C10-B10+D10</f>
        <v/>
      </c>
      <c r="F10" s="16">
        <f>E10*Inputs!$B$5</f>
        <v/>
      </c>
      <c r="G10" s="16">
        <f>((B10+C10)/2)*Inputs!$B$6</f>
        <v/>
      </c>
      <c r="H10" s="16">
        <f>((B10+C10)/2)*Inputs!$B$11*Inputs!$B$12*Inputs!$B$7*Inputs!$B$8</f>
        <v/>
      </c>
      <c r="I10" s="16">
        <f>F10+G10+H10</f>
        <v/>
      </c>
      <c r="J10" s="16">
        <f>Inputs!$B$18</f>
        <v/>
      </c>
      <c r="K10" s="16">
        <f>Inputs!$B$19+((B10+C10)/2)*Inputs!$B$20</f>
        <v/>
      </c>
      <c r="L10" s="16">
        <f>Inputs!$B$21+Inputs!$B$22</f>
        <v/>
      </c>
      <c r="M10" s="16">
        <f>E10*(Inputs!$B$25*Inputs!$B$5+Inputs!$B$26)+((B10+C10)/2)*(Inputs!$B$25*Inputs!$B$6+Inputs!$B$26+Inputs!$B$27*Inputs!$B$6)+H10*(Inputs!$B$25+Inputs!$B$27)</f>
        <v/>
      </c>
      <c r="N10" s="16">
        <f>J10+K10+L10+M10</f>
        <v/>
      </c>
      <c r="O10" s="16">
        <f>IF(A10=Inputs!$B$34,Inputs!$B$33,0)</f>
        <v/>
      </c>
      <c r="P10" s="16">
        <f>I10-N10-O10</f>
        <v/>
      </c>
      <c r="Q10" s="16">
        <f>Q9+P10</f>
        <v/>
      </c>
    </row>
    <row r="11">
      <c r="A11" s="14" t="n">
        <v>9</v>
      </c>
      <c r="B11" s="14">
        <f>C10</f>
        <v/>
      </c>
      <c r="C11" s="15" t="n">
        <v>255</v>
      </c>
      <c r="D11" s="14">
        <f>B11*Inputs!$B$15</f>
        <v/>
      </c>
      <c r="E11" s="14">
        <f>C11-B11+D11</f>
        <v/>
      </c>
      <c r="F11" s="16">
        <f>E11*Inputs!$B$5</f>
        <v/>
      </c>
      <c r="G11" s="16">
        <f>((B11+C11)/2)*Inputs!$B$6</f>
        <v/>
      </c>
      <c r="H11" s="16">
        <f>((B11+C11)/2)*Inputs!$B$11*Inputs!$B$12*Inputs!$B$7*Inputs!$B$8</f>
        <v/>
      </c>
      <c r="I11" s="16">
        <f>F11+G11+H11</f>
        <v/>
      </c>
      <c r="J11" s="16">
        <f>Inputs!$B$18</f>
        <v/>
      </c>
      <c r="K11" s="16">
        <f>Inputs!$B$19+((B11+C11)/2)*Inputs!$B$20</f>
        <v/>
      </c>
      <c r="L11" s="16">
        <f>Inputs!$B$21+Inputs!$B$22</f>
        <v/>
      </c>
      <c r="M11" s="16">
        <f>E11*(Inputs!$B$25*Inputs!$B$5+Inputs!$B$26)+((B11+C11)/2)*(Inputs!$B$25*Inputs!$B$6+Inputs!$B$26+Inputs!$B$27*Inputs!$B$6)+H11*(Inputs!$B$25+Inputs!$B$27)</f>
        <v/>
      </c>
      <c r="N11" s="16">
        <f>J11+K11+L11+M11</f>
        <v/>
      </c>
      <c r="O11" s="16">
        <f>IF(A11=Inputs!$B$34,Inputs!$B$33,0)</f>
        <v/>
      </c>
      <c r="P11" s="16">
        <f>I11-N11-O11</f>
        <v/>
      </c>
      <c r="Q11" s="16">
        <f>Q10+P11</f>
        <v/>
      </c>
    </row>
    <row r="12">
      <c r="A12" s="14" t="n">
        <v>10</v>
      </c>
      <c r="B12" s="14">
        <f>C11</f>
        <v/>
      </c>
      <c r="C12" s="15" t="n">
        <v>330</v>
      </c>
      <c r="D12" s="14">
        <f>B12*Inputs!$B$15</f>
        <v/>
      </c>
      <c r="E12" s="14">
        <f>C12-B12+D12</f>
        <v/>
      </c>
      <c r="F12" s="16">
        <f>E12*Inputs!$B$5</f>
        <v/>
      </c>
      <c r="G12" s="16">
        <f>((B12+C12)/2)*Inputs!$B$6</f>
        <v/>
      </c>
      <c r="H12" s="16">
        <f>((B12+C12)/2)*Inputs!$B$11*Inputs!$B$12*Inputs!$B$7*Inputs!$B$8</f>
        <v/>
      </c>
      <c r="I12" s="16">
        <f>F12+G12+H12</f>
        <v/>
      </c>
      <c r="J12" s="16">
        <f>Inputs!$B$18</f>
        <v/>
      </c>
      <c r="K12" s="16">
        <f>Inputs!$B$19+((B12+C12)/2)*Inputs!$B$20</f>
        <v/>
      </c>
      <c r="L12" s="16">
        <f>Inputs!$B$21+Inputs!$B$22</f>
        <v/>
      </c>
      <c r="M12" s="16">
        <f>E12*(Inputs!$B$25*Inputs!$B$5+Inputs!$B$26)+((B12+C12)/2)*(Inputs!$B$25*Inputs!$B$6+Inputs!$B$26+Inputs!$B$27*Inputs!$B$6)+H12*(Inputs!$B$25+Inputs!$B$27)</f>
        <v/>
      </c>
      <c r="N12" s="16">
        <f>J12+K12+L12+M12</f>
        <v/>
      </c>
      <c r="O12" s="16">
        <f>IF(A12=Inputs!$B$34,Inputs!$B$33,0)</f>
        <v/>
      </c>
      <c r="P12" s="16">
        <f>I12-N12-O12</f>
        <v/>
      </c>
      <c r="Q12" s="16">
        <f>Q11+P12</f>
        <v/>
      </c>
    </row>
    <row r="13">
      <c r="A13" s="14" t="n">
        <v>11</v>
      </c>
      <c r="B13" s="14">
        <f>C12</f>
        <v/>
      </c>
      <c r="C13" s="15" t="n">
        <v>415</v>
      </c>
      <c r="D13" s="14">
        <f>B13*Inputs!$B$15</f>
        <v/>
      </c>
      <c r="E13" s="14">
        <f>C13-B13+D13</f>
        <v/>
      </c>
      <c r="F13" s="16">
        <f>E13*Inputs!$B$5</f>
        <v/>
      </c>
      <c r="G13" s="16">
        <f>((B13+C13)/2)*Inputs!$B$6</f>
        <v/>
      </c>
      <c r="H13" s="16">
        <f>((B13+C13)/2)*Inputs!$B$11*Inputs!$B$12*Inputs!$B$7*Inputs!$B$8</f>
        <v/>
      </c>
      <c r="I13" s="16">
        <f>F13+G13+H13</f>
        <v/>
      </c>
      <c r="J13" s="16">
        <f>Inputs!$B$18</f>
        <v/>
      </c>
      <c r="K13" s="16">
        <f>Inputs!$B$19+((B13+C13)/2)*Inputs!$B$20</f>
        <v/>
      </c>
      <c r="L13" s="16">
        <f>Inputs!$B$21+Inputs!$B$22</f>
        <v/>
      </c>
      <c r="M13" s="16">
        <f>E13*(Inputs!$B$25*Inputs!$B$5+Inputs!$B$26)+((B13+C13)/2)*(Inputs!$B$25*Inputs!$B$6+Inputs!$B$26+Inputs!$B$27*Inputs!$B$6)+H13*(Inputs!$B$25+Inputs!$B$27)</f>
        <v/>
      </c>
      <c r="N13" s="16">
        <f>J13+K13+L13+M13</f>
        <v/>
      </c>
      <c r="O13" s="16">
        <f>IF(A13=Inputs!$B$34,Inputs!$B$33,0)</f>
        <v/>
      </c>
      <c r="P13" s="16">
        <f>I13-N13-O13</f>
        <v/>
      </c>
      <c r="Q13" s="16">
        <f>Q12+P13</f>
        <v/>
      </c>
    </row>
    <row r="14">
      <c r="A14" s="14" t="n">
        <v>12</v>
      </c>
      <c r="B14" s="14">
        <f>C13</f>
        <v/>
      </c>
      <c r="C14" s="15" t="n">
        <v>500</v>
      </c>
      <c r="D14" s="14">
        <f>B14*Inputs!$B$15</f>
        <v/>
      </c>
      <c r="E14" s="14">
        <f>C14-B14+D14</f>
        <v/>
      </c>
      <c r="F14" s="16">
        <f>E14*Inputs!$B$5</f>
        <v/>
      </c>
      <c r="G14" s="16">
        <f>((B14+C14)/2)*Inputs!$B$6</f>
        <v/>
      </c>
      <c r="H14" s="16">
        <f>((B14+C14)/2)*Inputs!$B$11*Inputs!$B$12*Inputs!$B$7*Inputs!$B$8</f>
        <v/>
      </c>
      <c r="I14" s="16">
        <f>F14+G14+H14</f>
        <v/>
      </c>
      <c r="J14" s="16">
        <f>Inputs!$B$18</f>
        <v/>
      </c>
      <c r="K14" s="16">
        <f>Inputs!$B$19+((B14+C14)/2)*Inputs!$B$20</f>
        <v/>
      </c>
      <c r="L14" s="16">
        <f>Inputs!$B$21+Inputs!$B$22</f>
        <v/>
      </c>
      <c r="M14" s="16">
        <f>E14*(Inputs!$B$25*Inputs!$B$5+Inputs!$B$26)+((B14+C14)/2)*(Inputs!$B$25*Inputs!$B$6+Inputs!$B$26+Inputs!$B$27*Inputs!$B$6)+H14*(Inputs!$B$25+Inputs!$B$27)</f>
        <v/>
      </c>
      <c r="N14" s="16">
        <f>J14+K14+L14+M14</f>
        <v/>
      </c>
      <c r="O14" s="16">
        <f>IF(A14=Inputs!$B$34,Inputs!$B$33,0)</f>
        <v/>
      </c>
      <c r="P14" s="16">
        <f>I14-N14-O14</f>
        <v/>
      </c>
      <c r="Q14" s="16">
        <f>Q13+P14</f>
        <v/>
      </c>
    </row>
    <row r="15">
      <c r="A15" s="17" t="inlineStr">
        <is>
          <t>YEAR</t>
        </is>
      </c>
      <c r="F15" s="18">
        <f>SUM(F3:F14)</f>
        <v/>
      </c>
      <c r="G15" s="18">
        <f>SUM(G3:G14)</f>
        <v/>
      </c>
      <c r="H15" s="18">
        <f>SUM(H3:H14)</f>
        <v/>
      </c>
      <c r="I15" s="18">
        <f>SUM(I3:I14)</f>
        <v/>
      </c>
      <c r="J15" s="18">
        <f>SUM(J3:J14)</f>
        <v/>
      </c>
      <c r="K15" s="18">
        <f>SUM(K3:K14)</f>
        <v/>
      </c>
      <c r="L15" s="18">
        <f>SUM(L3:L14)</f>
        <v/>
      </c>
      <c r="M15" s="18">
        <f>SUM(M3:M14)</f>
        <v/>
      </c>
      <c r="N15" s="18">
        <f>SUM(N3:N14)</f>
        <v/>
      </c>
      <c r="O15" s="18">
        <f>SUM(O3:O14)</f>
        <v/>
      </c>
      <c r="P15" s="18">
        <f>SUM(P3:P14)</f>
        <v/>
      </c>
      <c r="Q15" s="18">
        <f>Q14</f>
        <v/>
      </c>
    </row>
    <row r="16">
      <c r="A16" s="9" t="inlineStr">
        <is>
          <t>* Perf fee is illustrative (needs compliance review) and is OFF in totals unless Inputs!B8 =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FlipPulse — Summary</t>
        </is>
      </c>
    </row>
    <row r="3">
      <c r="A3" s="19" t="inlineStr">
        <is>
          <t>QUARTERLY</t>
        </is>
      </c>
      <c r="B3" s="19" t="inlineStr">
        <is>
          <t>Q1 (m1-3)</t>
        </is>
      </c>
      <c r="C3" s="19" t="inlineStr">
        <is>
          <t>Q2 (m4-6)</t>
        </is>
      </c>
      <c r="D3" s="19" t="inlineStr">
        <is>
          <t>Q3 (m7-9)</t>
        </is>
      </c>
      <c r="E3" s="19" t="inlineStr">
        <is>
          <t>Q4 (m10-12)</t>
        </is>
      </c>
    </row>
    <row r="4">
      <c r="A4" s="5" t="inlineStr">
        <is>
          <t>Revenue</t>
        </is>
      </c>
      <c r="B4" s="20">
        <f>SUM('Monthly Model'!I3:I5)</f>
        <v/>
      </c>
      <c r="C4" s="20">
        <f>SUM('Monthly Model'!I6:I8)</f>
        <v/>
      </c>
      <c r="D4" s="20">
        <f>SUM('Monthly Model'!I9:I11)</f>
        <v/>
      </c>
      <c r="E4" s="20">
        <f>SUM('Monthly Model'!I12:I14)</f>
        <v/>
      </c>
    </row>
    <row r="5">
      <c r="A5" s="5" t="inlineStr">
        <is>
          <t>Operating costs</t>
        </is>
      </c>
      <c r="B5" s="20">
        <f>SUM('Monthly Model'!N3:N5)</f>
        <v/>
      </c>
      <c r="C5" s="20">
        <f>SUM('Monthly Model'!N6:N8)</f>
        <v/>
      </c>
      <c r="D5" s="20">
        <f>SUM('Monthly Model'!N9:N11)</f>
        <v/>
      </c>
      <c r="E5" s="20">
        <f>SUM('Monthly Model'!N12:N14)</f>
        <v/>
      </c>
    </row>
    <row r="6">
      <c r="A6" s="5" t="inlineStr">
        <is>
          <t>Hardware capex</t>
        </is>
      </c>
      <c r="B6" s="20">
        <f>SUM('Monthly Model'!O3:O5)</f>
        <v/>
      </c>
      <c r="C6" s="20">
        <f>SUM('Monthly Model'!O6:O8)</f>
        <v/>
      </c>
      <c r="D6" s="20">
        <f>SUM('Monthly Model'!O9:O11)</f>
        <v/>
      </c>
      <c r="E6" s="20">
        <f>SUM('Monthly Model'!O12:O14)</f>
        <v/>
      </c>
    </row>
    <row r="7">
      <c r="A7" s="21" t="inlineStr">
        <is>
          <t>Net profit</t>
        </is>
      </c>
      <c r="B7" s="18">
        <f>SUM('Monthly Model'!P3:P5)</f>
        <v/>
      </c>
      <c r="C7" s="18">
        <f>SUM('Monthly Model'!P6:P8)</f>
        <v/>
      </c>
      <c r="D7" s="18">
        <f>SUM('Monthly Model'!P9:P11)</f>
        <v/>
      </c>
      <c r="E7" s="18">
        <f>SUM('Monthly Model'!P12:P14)</f>
        <v/>
      </c>
    </row>
    <row r="10">
      <c r="A10" s="3" t="inlineStr">
        <is>
          <t>ANNUAL (Year 1)</t>
        </is>
      </c>
      <c r="B10" s="4" t="n"/>
      <c r="C10" s="4" t="n"/>
      <c r="D10" s="4" t="n"/>
      <c r="E10" s="4" t="n"/>
    </row>
    <row r="11">
      <c r="A11" s="21" t="inlineStr">
        <is>
          <t>Total revenue (contracted: setup + subscription)</t>
        </is>
      </c>
      <c r="B11" s="18">
        <f>SUM('Monthly Model'!I3:I14)</f>
        <v/>
      </c>
    </row>
    <row r="12">
      <c r="A12" s="5" t="inlineStr">
        <is>
          <t>Total operating costs</t>
        </is>
      </c>
      <c r="B12" s="20">
        <f>SUM('Monthly Model'!N3:N14)</f>
        <v/>
      </c>
    </row>
    <row r="13">
      <c r="A13" s="5" t="inlineStr">
        <is>
          <t>Total hardware capex</t>
        </is>
      </c>
      <c r="B13" s="20">
        <f>SUM('Monthly Model'!O3:O14)</f>
        <v/>
      </c>
    </row>
    <row r="14">
      <c r="A14" s="21" t="inlineStr">
        <is>
          <t>Net profit (Year 1)</t>
        </is>
      </c>
      <c r="B14" s="18">
        <f>SUM('Monthly Model'!P3:P14)</f>
        <v/>
      </c>
    </row>
    <row r="15">
      <c r="A15" s="5" t="inlineStr">
        <is>
          <t>Gross margin (rev − opex) / rev</t>
        </is>
      </c>
      <c r="B15" s="22">
        <f>(SUM('Monthly Model'!I3:I14)-SUM('Monthly Model'!N3:N14))/SUM('Monthly Model'!I3:I14)</f>
        <v/>
      </c>
    </row>
    <row r="17">
      <c r="A17" s="3" t="inlineStr">
        <is>
          <t>KEY METRICS</t>
        </is>
      </c>
      <c r="B17" s="4" t="n"/>
      <c r="C17" s="4" t="n"/>
      <c r="D17" s="4" t="n"/>
      <c r="E17" s="4" t="n"/>
    </row>
    <row r="18">
      <c r="A18" s="21" t="inlineStr">
        <is>
          <t>Ending customers (month 12)</t>
        </is>
      </c>
      <c r="B18" s="23">
        <f>'Monthly Model'!C14</f>
        <v/>
      </c>
    </row>
    <row r="19">
      <c r="A19" s="5" t="inlineStr">
        <is>
          <t>Ending MRR (run-rate: customers × sub)</t>
        </is>
      </c>
      <c r="B19" s="20">
        <f>'Monthly Model'!C14*Inputs!$B$6</f>
        <v/>
      </c>
    </row>
    <row r="20">
      <c r="A20" s="21" t="inlineStr">
        <is>
          <t>Ending ARR (MRR × 12)</t>
        </is>
      </c>
      <c r="B20" s="18">
        <f>'Monthly Model'!C14*Inputs!$B$6*12</f>
        <v/>
      </c>
    </row>
    <row r="21">
      <c r="A21" s="5" t="inlineStr">
        <is>
          <t>Avg revenue / customer / month (m12)</t>
        </is>
      </c>
      <c r="B21" s="20">
        <f>'Monthly Model'!I14/(('Monthly Model'!B14+'Monthly Model'!C14)/2)</f>
        <v/>
      </c>
    </row>
    <row r="22">
      <c r="A22" s="21" t="inlineStr">
        <is>
          <t>Cumulative net profit (end of year)</t>
        </is>
      </c>
      <c r="B22" s="18">
        <f>'Monthly Model'!Q14</f>
        <v/>
      </c>
    </row>
    <row r="24">
      <c r="A24" s="3" t="inlineStr">
        <is>
          <t>HARDWARE CHECK</t>
        </is>
      </c>
      <c r="B24" s="4" t="n"/>
      <c r="C24" s="4" t="n"/>
      <c r="D24" s="4" t="n"/>
      <c r="E24" s="4" t="n"/>
    </row>
    <row r="25">
      <c r="A25" s="5" t="inlineStr">
        <is>
          <t>Cumulative profit BEFORE hardware, at purchase month</t>
        </is>
      </c>
      <c r="B25" s="20">
        <f>SUMIF('Monthly Model'!$A$3:$A$14,"&lt;="&amp;Inputs!$B$34,'Monthly Model'!$P$3:$P$14)+SUMIF('Monthly Model'!$A$3:$A$14,"&lt;="&amp;Inputs!$B$34,'Monthly Model'!$O$3:$O$14)</f>
        <v/>
      </c>
    </row>
    <row r="26">
      <c r="A26" s="5" t="inlineStr">
        <is>
          <t>Hardware total</t>
        </is>
      </c>
      <c r="B26" s="20">
        <f>Inputs!$B$33</f>
        <v/>
      </c>
    </row>
    <row r="27">
      <c r="A27" s="21" t="inlineStr">
        <is>
          <t>Covered by profits?  (should be TRUE)</t>
        </is>
      </c>
      <c r="B27" s="24">
        <f>IF(B25&gt;=B26,"YES — funded from profit","NO — push purchase later")</f>
        <v/>
      </c>
    </row>
    <row r="29">
      <c r="A29" s="3" t="inlineStr">
        <is>
          <t>PERFORMANCE-FEE UPSIDE  (illustrative, not in totals above)</t>
        </is>
      </c>
      <c r="B29" s="4" t="n"/>
      <c r="C29" s="4" t="n"/>
      <c r="D29" s="4" t="n"/>
      <c r="E29" s="4" t="n"/>
    </row>
    <row r="30">
      <c r="A30" s="21" t="inlineStr">
        <is>
          <t>Annual performance-fee revenue (if it holds)</t>
        </is>
      </c>
      <c r="B30" s="18">
        <f>(SUMPRODUCT(('Monthly Model'!B3:B14+'Monthly Model'!C3:C14)/2))*Inputs!$B$11*Inputs!$B$12*Inputs!$B$7</f>
        <v/>
      </c>
    </row>
    <row r="31">
      <c r="A31" s="5" t="inlineStr">
        <is>
          <t>Total revenue INCL. perf-fee upside</t>
        </is>
      </c>
      <c r="B31" s="20">
        <f>SUM('Monthly Model'!I3:I14)+B30</f>
        <v/>
      </c>
    </row>
    <row r="32">
      <c r="A32" s="21" t="inlineStr">
        <is>
          <t>Net profit INCL. perf-fee upside</t>
        </is>
      </c>
      <c r="B32" s="18">
        <f>SUM('Monthly Model'!P3:P14)+B30</f>
        <v/>
      </c>
    </row>
    <row r="33">
      <c r="A33" s="9" t="inlineStr">
        <is>
          <t>Upside assumes every active customer nets Inputs!B12 per month on Inputs!B11 of capital. Unproven — treat as a ceiling, not a forecast.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4" customWidth="1" min="3" max="3"/>
  </cols>
  <sheetData>
    <row r="1">
      <c r="A1" s="25" t="inlineStr">
        <is>
          <t>FlipPulse — Cost Research &amp; Sources (as of mid-2026)</t>
        </is>
      </c>
    </row>
    <row r="3" ht="42" customHeight="1">
      <c r="A3" s="3" t="inlineStr">
        <is>
          <t>Item</t>
        </is>
      </c>
      <c r="B3" s="3" t="inlineStr">
        <is>
          <t>Figure used</t>
        </is>
      </c>
      <c r="C3" s="3" t="inlineStr">
        <is>
          <t>Notes / source</t>
        </is>
      </c>
    </row>
    <row r="4" ht="42" customHeight="1">
      <c r="A4" s="21" t="inlineStr">
        <is>
          <t>Claude Max</t>
        </is>
      </c>
      <c r="B4" t="inlineStr">
        <is>
          <t>$100 / mo</t>
        </is>
      </c>
      <c r="C4" s="26" t="inlineStr">
        <is>
          <t>Max tier as specified. A $200/mo (higher-usage) tier also exists.</t>
        </is>
      </c>
    </row>
    <row r="5" ht="42" customHeight="1">
      <c r="A5" s="21" t="inlineStr">
        <is>
          <t>Railway</t>
        </is>
      </c>
      <c r="B5" t="inlineStr">
        <is>
          <t>$20 base + ~$5/bot</t>
        </is>
      </c>
      <c r="C5" s="26" t="inlineStr">
        <is>
          <t>Pro plan is $20/mo incl. credits; usage billed per-minute. Each always-on bot is a small container (~$3–8/mo). Hobby is $5/mo incl. $5 usage. (docs.railway.com/pricing)</t>
        </is>
      </c>
    </row>
    <row r="6" ht="42" customHeight="1">
      <c r="A6" s="21" t="inlineStr">
        <is>
          <t>GitHub</t>
        </is>
      </c>
      <c r="B6" t="inlineStr">
        <is>
          <t>$0</t>
        </is>
      </c>
      <c r="C6" s="26" t="inlineStr">
        <is>
          <t>Free plan includes unlimited private repos. GitHub Team is $4/user/mo if you add collaborators. Copilot is separate ($0–$100/mo).</t>
        </is>
      </c>
    </row>
    <row r="7" ht="42" customHeight="1">
      <c r="A7" s="21" t="inlineStr">
        <is>
          <t>Stripe</t>
        </is>
      </c>
      <c r="B7" t="inlineStr">
        <is>
          <t>2.9% + $0.30, +0.7%</t>
        </is>
      </c>
      <c r="C7" s="26" t="inlineStr">
        <is>
          <t>Standard US card fee 2.9% + $0.30 per charge; Stripe Billing adds ~0.5–0.7% on recurring. No flat monthly fee on standard. (stripe.com/pricing, stripe.com/billing/pricing)</t>
        </is>
      </c>
    </row>
    <row r="8" ht="42" customHeight="1">
      <c r="A8" s="21" t="inlineStr">
        <is>
          <t>Mac mini (top spec)</t>
        </is>
      </c>
      <c r="B8" t="inlineStr">
        <is>
          <t>~$2,000</t>
        </is>
      </c>
      <c r="C8" s="26" t="inlineStr">
        <is>
          <t>M4 Pro (14-core) starts ~$1,599 (2026 price rise); 48GB/1TB config lands near $2,000+. (apple.com/mac-mini)</t>
        </is>
      </c>
    </row>
    <row r="9" ht="42" customHeight="1">
      <c r="A9" s="21" t="inlineStr">
        <is>
          <t>Large curved monitor</t>
        </is>
      </c>
      <c r="B9" t="inlineStr">
        <is>
          <t>~$1,000</t>
        </is>
      </c>
      <c r="C9" s="26" t="inlineStr">
        <is>
          <t>Premium 34" QD-OLED ultrawide ~$799 (e.g. Alienware AW3425DW); 49" super-ultrawide runs higher. (rtings.com, tomsguide.com)</t>
        </is>
      </c>
    </row>
    <row r="10" ht="42" customHeight="1">
      <c r="A10" s="21" t="inlineStr">
        <is>
          <t>Peripherals / desk</t>
        </is>
      </c>
      <c r="B10" t="inlineStr">
        <is>
          <t>$300</t>
        </is>
      </c>
      <c r="C10" s="26" t="inlineStr">
        <is>
          <t>Keyboard, mouse, cabling, desk odds &amp; ends.</t>
        </is>
      </c>
    </row>
    <row r="12">
      <c r="A12" s="2" t="inlineStr">
        <is>
          <t>These are defaults on the Inputs sheet — override any of them with your real bills.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2026-07-01T04:18:22Z</dcterms:created>
  <dcterms:modified xsi:type="dcterms:W3CDTF">2026-07-01T04:18:22Z</dcterms:modified>
</cp:coreProperties>
</file>